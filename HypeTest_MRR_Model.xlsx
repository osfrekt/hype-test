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rojec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<sst xmlns="http://schemas.openxmlformats.org/spreadsheetml/2006/main" count="70" uniqueCount="70">
  <si>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HypeTest MRR Model - Assumptions</t>
  </si>
  <si>
    <t xml:space="preserve">PRICING</t>
  </si>
  <si>
    <t xml:space="preserve">Starter price ($/mo)</t>
  </si>
  <si>
    <t xml:space="preserve">Pro price ($/mo)</t>
  </si>
  <si>
    <t xml:space="preserve">Team price ($/mo)</t>
  </si>
  <si>
    <t xml:space="preserve">API COSTS</t>
  </si>
  <si>
    <t xml:space="preserve">Cost per research run ($)</t>
  </si>
  <si>
    <t xml:space="preserve">Runs included - Starter</t>
  </si>
  <si>
    <t xml:space="preserve">Runs included - Pro</t>
  </si>
  <si>
    <t xml:space="preserve">Runs included - Team</t>
  </si>
  <si>
    <t xml:space="preserve">GROWTH ASSUMPTIONS</t>
  </si>
  <si>
    <t xml:space="preserve">Month 1 free signups</t>
  </si>
  <si>
    <t xml:space="preserve">Monthly signup growth rate</t>
  </si>
  <si>
    <t xml:space="preserve">Free-to-Starter conversion rate</t>
  </si>
  <si>
    <t xml:space="preserve">Free-to-Pro conversion rate</t>
  </si>
  <si>
    <t xml:space="preserve">Team accounts acquired (month 6+)</t>
  </si>
  <si>
    <t xml:space="preserve">CHURN &amp; EXPANSION</t>
  </si>
  <si>
    <t xml:space="preserve">Monthly churn rate (Starter)</t>
  </si>
  <si>
    <t xml:space="preserve">Monthly churn rate (Pro)</t>
  </si>
  <si>
    <t xml:space="preserve">Monthly churn rate (Team)</t>
  </si>
  <si>
    <t xml:space="preserve">Starter-to-Pro upgrade rate (monthly)</t>
  </si>
  <si>
    <t xml:space="preserve">HypeTest 12-Month MRR Projection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</si>
  <si>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</si>
  <si>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</si>
  <si>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</si>
  <si>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</si>
  <si>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</si>
  <si>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</si>
  <si>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</si>
  <si>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</si>
  <si>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</si>
  <si>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</si>
  <si>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</si>
  <si>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</si>
  <si>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FREE SIGNUPS</t>
  </si>
  <si>
    <t xml:space="preserve">New free signups</t>
  </si>
  <si>
    <t xml:space="preserve">Cumulative free users</t>
  </si>
  <si>
    <t xml:space="preserve">CONVERSIONS</t>
  </si>
  <si>
    <t xml:space="preserve">New Starter conversions</t>
  </si>
  <si>
    <t xml:space="preserve">New Pro conversions</t>
  </si>
  <si>
    <t xml:space="preserve">Starter-to-Pro upgrades</t>
  </si>
  <si>
    <t xml:space="preserve">ACTIVE PAYING CUSTOMERS</t>
  </si>
  <si>
    <t xml:space="preserve">Starter churned</t>
  </si>
  <si>
    <t xml:space="preserve">Active Starter customers</t>
  </si>
  <si>
    <t xml:space="preserve">Pro churned</t>
  </si>
  <si>
    <t xml:space="preserve">Active Pro customers</t>
  </si>
  <si>
    <t xml:space="preserve">Active Team customers</t>
  </si>
  <si>
    <t xml:space="preserve">Total paying customers</t>
  </si>
  <si>
    <t xml:space="preserve">MONTHLY RECURRING REVENUE</t>
  </si>
  <si>
    <t xml:space="preserve">Starter MRR</t>
  </si>
  <si>
    <t xml:space="preserve">Pro MRR</t>
  </si>
  <si>
    <t xml:space="preserve">Team MRR</t>
  </si>
  <si>
    <t xml:space="preserve">Total MRR</t>
  </si>
  <si>
    <t xml:space="preserve">UNIT ECONOMICS</t>
  </si>
  <si>
    <t xml:space="preserve">Estimated API cost</t>
  </si>
  <si>
    <t xml:space="preserve">Gross profit</t>
  </si>
  <si>
    <t xml:space="preserve">Gross margin</t>
  </si>
  <si>
    <t xml:space="preserve">ARPU (blended)</t>
  </si>
  <si>
    <t xml:space="preserve">CUMULATIVE</t>
  </si>
  <si>
    <t xml:space="preserve">Cumulative revenue</t>
  </si>
  <si>
    <t xml:space="preserve">Cumulative API cost</t>
  </si>
  <si>
    <t xml:space="preserve">Cumulative gross profit</t>
  </si>
  <si>
    <t xml:space="preserve">ARR (MRR x 12)</t>
  </si>
  <si>
    <t xml:space="preserve">Notes:</t>
  </si>
  <si>
    <t xml:space="preserve">  1. All blue values on Assumptions tab are editable inputs.</t>
  </si>
  <si>
    <t xml:space="preserve">  2. Model assumes organic growth only (no paid acquisition).</t>
  </si>
  <si>
    <t xml:space="preserve">  3. Team accounts start acquiring from month 6 (sales cycle).</t>
  </si>
  <si>
    <t xml:space="preserve">  4. Churn is applied to previous month's base before adding new.</t>
  </si>
  <si>
    <t xml:space="preserve">  5. Free users assumed to use ~3 runs/month for API cost calc.</t>
  </si>
  <si>
    <t xml:space="preserve">  6. Does not include Vercel, Supabase, or domain costs (~$50-100/mo fixed).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</si>
</sst>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.00"/>
    <numFmt numFmtId="167" formatCode="#,##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72A"/>
      <name val="Arial"/>
      <family val="0"/>
      <charset val="1"/>
    </font>
    <font>
      <b val="true"/>
      <sz val="12"/>
      <color rgb="FF0891B2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891B2"/>
      <name val="Arial"/>
      <family val="0"/>
      <charset val="1"/>
    </font>
    <font>
      <b val="true"/>
      <sz val="13"/>
      <color rgb="FF0F172A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0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E0F7FA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C0C0C0"/>
      <rgbColor rgb="FF808080"/>
      <rgbColor rgb="FF9999FF"/>
      <rgbColor rgb="FF993366"/>
      <rgbColor rgb="FFFFFFF0"/>
      <rgbColor rgb="FFE0F7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49</v>
      </c>
    </row>
    <row r="5" customFormat="false" ht="15" hidden="false" customHeight="false" outlineLevel="0" collapsed="false">
      <c r="A5" s="3" t="s">
        <v>3</v>
      </c>
      <c r="B5" s="4" t="n">
        <v>149</v>
      </c>
    </row>
    <row r="6" customFormat="false" ht="15" hidden="false" customHeight="false" outlineLevel="0" collapsed="false">
      <c r="A6" s="3" t="s">
        <v>4</v>
      </c>
      <c r="B6" s="4" t="n">
        <v>349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  <c r="B9" s="5" t="n">
        <v>0.05</v>
      </c>
    </row>
    <row r="10" customFormat="false" ht="15" hidden="false" customHeight="false" outlineLevel="0" collapsed="false">
      <c r="A10" s="3" t="s">
        <v>7</v>
      </c>
      <c r="B10" s="6" t="n">
        <v>30</v>
      </c>
    </row>
    <row r="11" customFormat="false" ht="15" hidden="false" customHeight="false" outlineLevel="0" collapsed="false">
      <c r="A11" s="3" t="s">
        <v>8</v>
      </c>
      <c r="B11" s="6" t="n">
        <v>100</v>
      </c>
    </row>
    <row r="12" customFormat="false" ht="15" hidden="false" customHeight="false" outlineLevel="0" collapsed="false">
      <c r="A12" s="3" t="s">
        <v>9</v>
      </c>
      <c r="B12" s="6" t="n">
        <v>500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  <c r="B15" s="6" t="n">
        <v>200</v>
      </c>
    </row>
    <row r="16" customFormat="false" ht="15" hidden="false" customHeight="false" outlineLevel="0" collapsed="false">
      <c r="A16" s="3" t="s">
        <v>12</v>
      </c>
      <c r="B16" s="7" t="n">
        <v>0.15</v>
      </c>
    </row>
    <row r="17" customFormat="false" ht="15" hidden="false" customHeight="false" outlineLevel="0" collapsed="false">
      <c r="A17" s="3" t="s">
        <v>13</v>
      </c>
      <c r="B17" s="7" t="n">
        <v>0.04</v>
      </c>
    </row>
    <row r="18" customFormat="false" ht="15" hidden="false" customHeight="false" outlineLevel="0" collapsed="false">
      <c r="A18" s="3" t="s">
        <v>14</v>
      </c>
      <c r="B18" s="7" t="n">
        <v>0.02</v>
      </c>
    </row>
    <row r="19" customFormat="false" ht="15" hidden="false" customHeight="false" outlineLevel="0" collapsed="false">
      <c r="A19" s="3" t="s">
        <v>15</v>
      </c>
      <c r="B19" s="6" t="n">
        <v>1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3" t="s">
        <v>17</v>
      </c>
      <c r="B22" s="7" t="n">
        <v>0.08</v>
      </c>
    </row>
    <row r="23" customFormat="false" ht="15" hidden="false" customHeight="false" outlineLevel="0" collapsed="false">
      <c r="A23" s="3" t="s">
        <v>18</v>
      </c>
      <c r="B23" s="7" t="n">
        <v>0.05</v>
      </c>
    </row>
    <row r="24" customFormat="false" ht="15" hidden="false" customHeight="false" outlineLevel="0" collapsed="false">
      <c r="A24" s="3" t="s">
        <v>19</v>
      </c>
      <c r="B24" s="7" t="n">
        <v>0.03</v>
      </c>
    </row>
    <row r="25" customFormat="false" ht="15" hidden="false" customHeight="false" outlineLevel="0" collapsed="false">
      <c r="A25" s="3" t="s">
        <v>20</v>
      </c>
      <c r="B25" s="7" t="n">
        <v>0.05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21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8"/>
      <c r="B3" s="9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27</v>
      </c>
      <c r="H3" s="9" t="s">
        <v>28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</row>
    <row r="4" customFormat="false" ht="15" hidden="false" customHeight="false" outlineLevel="0" collapsed="false">
      <c r="A4" s="2" t="s">
        <v>34</v>
      </c>
    </row>
    <row r="5" customFormat="false" ht="15" hidden="false" customHeight="false" outlineLevel="0" collapsed="false">
      <c r="A5" s="10" t="s">
        <v>35</v>
      </c>
      <c r="B5" s="11" t="n">
        <f aca="false">Assumptions!B15</f>
        <v>200</v>
      </c>
      <c r="C5" s="12" t="n">
        <f aca="false">B5*(1+Assumptions!B16)</f>
        <v>230</v>
      </c>
      <c r="D5" s="12" t="n">
        <f aca="false">C5*(1+Assumptions!B16)</f>
        <v>264.5</v>
      </c>
      <c r="E5" s="12" t="n">
        <f aca="false">D5*(1+Assumptions!B16)</f>
        <v>304.175</v>
      </c>
      <c r="F5" s="12" t="n">
        <f aca="false">E5*(1+Assumptions!B16)</f>
        <v>349.80125</v>
      </c>
      <c r="G5" s="12" t="n">
        <f aca="false">F5*(1+Assumptions!B16)</f>
        <v>402.2714375</v>
      </c>
      <c r="H5" s="12" t="n">
        <f aca="false">G5*(1+Assumptions!B16)</f>
        <v>462.612153125</v>
      </c>
      <c r="I5" s="12" t="n">
        <f aca="false">H5*(1+Assumptions!B16)</f>
        <v>532.00397609375</v>
      </c>
      <c r="J5" s="12" t="n">
        <f aca="false">I5*(1+Assumptions!B16)</f>
        <v>611.804572507812</v>
      </c>
      <c r="K5" s="12" t="n">
        <f aca="false">J5*(1+Assumptions!B16)</f>
        <v>703.575258383984</v>
      </c>
      <c r="L5" s="12" t="n">
        <f aca="false">K5*(1+Assumptions!B16)</f>
        <v>809.111547141581</v>
      </c>
      <c r="M5" s="12" t="n">
        <f aca="false">L5*(1+Assumptions!B16)</f>
        <v>930.478279212819</v>
      </c>
    </row>
    <row r="6" customFormat="false" ht="15" hidden="false" customHeight="false" outlineLevel="0" collapsed="false">
      <c r="A6" s="10" t="s">
        <v>36</v>
      </c>
      <c r="B6" s="12" t="n">
        <f aca="false">B5</f>
        <v>200</v>
      </c>
      <c r="C6" s="12" t="n">
        <f aca="false">B6+C5</f>
        <v>430</v>
      </c>
      <c r="D6" s="12" t="n">
        <f aca="false">C6+D5</f>
        <v>694.5</v>
      </c>
      <c r="E6" s="12" t="n">
        <f aca="false">D6+E5</f>
        <v>998.675</v>
      </c>
      <c r="F6" s="12" t="n">
        <f aca="false">E6+F5</f>
        <v>1348.47625</v>
      </c>
      <c r="G6" s="12" t="n">
        <f aca="false">F6+G5</f>
        <v>1750.7476875</v>
      </c>
      <c r="H6" s="12" t="n">
        <f aca="false">G6+H5</f>
        <v>2213.359840625</v>
      </c>
      <c r="I6" s="12" t="n">
        <f aca="false">H6+I5</f>
        <v>2745.36381671875</v>
      </c>
      <c r="J6" s="12" t="n">
        <f aca="false">I6+J5</f>
        <v>3357.16838922656</v>
      </c>
      <c r="K6" s="12" t="n">
        <f aca="false">J6+K5</f>
        <v>4060.74364761055</v>
      </c>
      <c r="L6" s="12" t="n">
        <f aca="false">K6+L5</f>
        <v>4869.85519475213</v>
      </c>
      <c r="M6" s="12" t="n">
        <f aca="false">L6+M5</f>
        <v>5800.33347396495</v>
      </c>
    </row>
    <row r="8" customFormat="false" ht="15" hidden="false" customHeight="false" outlineLevel="0" collapsed="false">
      <c r="A8" s="2" t="s">
        <v>37</v>
      </c>
    </row>
    <row r="9" customFormat="false" ht="15" hidden="false" customHeight="false" outlineLevel="0" collapsed="false">
      <c r="A9" s="10" t="s">
        <v>38</v>
      </c>
      <c r="B9" s="12" t="n">
        <f aca="false">ROUND(B5*Assumptions!B17,0)</f>
        <v>8</v>
      </c>
      <c r="C9" s="12" t="n">
        <f aca="false">ROUND(C5*Assumptions!B17,0)</f>
        <v>9</v>
      </c>
      <c r="D9" s="12" t="n">
        <f aca="false">ROUND(D5*Assumptions!B17,0)</f>
        <v>11</v>
      </c>
      <c r="E9" s="12" t="n">
        <f aca="false">ROUND(E5*Assumptions!B17,0)</f>
        <v>12</v>
      </c>
      <c r="F9" s="12" t="n">
        <f aca="false">ROUND(F5*Assumptions!B17,0)</f>
        <v>14</v>
      </c>
      <c r="G9" s="12" t="n">
        <f aca="false">ROUND(G5*Assumptions!B17,0)</f>
        <v>16</v>
      </c>
      <c r="H9" s="12" t="n">
        <f aca="false">ROUND(H5*Assumptions!B17,0)</f>
        <v>19</v>
      </c>
      <c r="I9" s="12" t="n">
        <f aca="false">ROUND(I5*Assumptions!B17,0)</f>
        <v>21</v>
      </c>
      <c r="J9" s="12" t="n">
        <f aca="false">ROUND(J5*Assumptions!B17,0)</f>
        <v>24</v>
      </c>
      <c r="K9" s="12" t="n">
        <f aca="false">ROUND(K5*Assumptions!B17,0)</f>
        <v>28</v>
      </c>
      <c r="L9" s="12" t="n">
        <f aca="false">ROUND(L5*Assumptions!B17,0)</f>
        <v>32</v>
      </c>
      <c r="M9" s="12" t="n">
        <f aca="false">ROUND(M5*Assumptions!B17,0)</f>
        <v>37</v>
      </c>
    </row>
    <row r="10" customFormat="false" ht="15" hidden="false" customHeight="false" outlineLevel="0" collapsed="false">
      <c r="A10" s="10" t="s">
        <v>39</v>
      </c>
      <c r="B10" s="12" t="n">
        <f aca="false">ROUND(B5*Assumptions!B18,0)</f>
        <v>4</v>
      </c>
      <c r="C10" s="12" t="n">
        <f aca="false">ROUND(C5*Assumptions!B18,0)</f>
        <v>5</v>
      </c>
      <c r="D10" s="12" t="n">
        <f aca="false">ROUND(D5*Assumptions!B18,0)</f>
        <v>5</v>
      </c>
      <c r="E10" s="12" t="n">
        <f aca="false">ROUND(E5*Assumptions!B18,0)</f>
        <v>6</v>
      </c>
      <c r="F10" s="12" t="n">
        <f aca="false">ROUND(F5*Assumptions!B18,0)</f>
        <v>7</v>
      </c>
      <c r="G10" s="12" t="n">
        <f aca="false">ROUND(G5*Assumptions!B18,0)</f>
        <v>8</v>
      </c>
      <c r="H10" s="12" t="n">
        <f aca="false">ROUND(H5*Assumptions!B18,0)</f>
        <v>9</v>
      </c>
      <c r="I10" s="12" t="n">
        <f aca="false">ROUND(I5*Assumptions!B18,0)</f>
        <v>11</v>
      </c>
      <c r="J10" s="12" t="n">
        <f aca="false">ROUND(J5*Assumptions!B18,0)</f>
        <v>12</v>
      </c>
      <c r="K10" s="12" t="n">
        <f aca="false">ROUND(K5*Assumptions!B18,0)</f>
        <v>14</v>
      </c>
      <c r="L10" s="12" t="n">
        <f aca="false">ROUND(L5*Assumptions!B18,0)</f>
        <v>16</v>
      </c>
      <c r="M10" s="12" t="n">
        <f aca="false">ROUND(M5*Assumptions!B18,0)</f>
        <v>19</v>
      </c>
    </row>
    <row r="11" customFormat="false" ht="15" hidden="false" customHeight="false" outlineLevel="0" collapsed="false">
      <c r="A11" s="10" t="s">
        <v>40</v>
      </c>
      <c r="B11" s="12" t="n">
        <v>0</v>
      </c>
      <c r="C11" s="12" t="n">
        <f aca="false">ROUND(B15*Assumptions!B25,0)</f>
        <v>0</v>
      </c>
      <c r="D11" s="12" t="n">
        <f aca="false">ROUND(C15*Assumptions!B25,0)</f>
        <v>1</v>
      </c>
      <c r="E11" s="12" t="n">
        <f aca="false">ROUND(D15*Assumptions!B25,0)</f>
        <v>1</v>
      </c>
      <c r="F11" s="12" t="n">
        <f aca="false">ROUND(E15*Assumptions!B25,0)</f>
        <v>2</v>
      </c>
      <c r="G11" s="12" t="n">
        <f aca="false">ROUND(F15*Assumptions!B25,0)</f>
        <v>2</v>
      </c>
      <c r="H11" s="12" t="n">
        <f aca="false">ROUND(G15*Assumptions!B25,0)</f>
        <v>3</v>
      </c>
      <c r="I11" s="12" t="n">
        <f aca="false">ROUND(H15*Assumptions!B25,0)</f>
        <v>3</v>
      </c>
      <c r="J11" s="12" t="n">
        <f aca="false">ROUND(I15*Assumptions!B25,0)</f>
        <v>4</v>
      </c>
      <c r="K11" s="12" t="n">
        <f aca="false">ROUND(J15*Assumptions!B25,0)</f>
        <v>5</v>
      </c>
      <c r="L11" s="12" t="n">
        <f aca="false">ROUND(K15*Assumptions!B25,0)</f>
        <v>5</v>
      </c>
      <c r="M11" s="12" t="n">
        <f aca="false">ROUND(L15*Assumptions!B25,0)</f>
        <v>6</v>
      </c>
    </row>
    <row r="13" customFormat="false" ht="15" hidden="false" customHeight="false" outlineLevel="0" collapsed="false">
      <c r="A13" s="2" t="s">
        <v>41</v>
      </c>
    </row>
    <row r="14" customFormat="false" ht="15" hidden="false" customHeight="false" outlineLevel="0" collapsed="false">
      <c r="A14" s="10" t="s">
        <v>42</v>
      </c>
      <c r="B14" s="12" t="n">
        <v>0</v>
      </c>
      <c r="C14" s="12" t="n">
        <f aca="false">ROUND(B15*Assumptions!B22,0)</f>
        <v>1</v>
      </c>
      <c r="D14" s="12" t="n">
        <f aca="false">ROUND(C15*Assumptions!B22,0)</f>
        <v>1</v>
      </c>
      <c r="E14" s="12" t="n">
        <f aca="false">ROUND(D15*Assumptions!B22,0)</f>
        <v>2</v>
      </c>
      <c r="F14" s="12" t="n">
        <f aca="false">ROUND(E15*Assumptions!B22,0)</f>
        <v>3</v>
      </c>
      <c r="G14" s="12" t="n">
        <f aca="false">ROUND(F15*Assumptions!B22,0)</f>
        <v>3</v>
      </c>
      <c r="H14" s="12" t="n">
        <f aca="false">ROUND(G15*Assumptions!B22,0)</f>
        <v>4</v>
      </c>
      <c r="I14" s="12" t="n">
        <f aca="false">ROUND(H15*Assumptions!B22,0)</f>
        <v>5</v>
      </c>
      <c r="J14" s="12" t="n">
        <f aca="false">ROUND(I15*Assumptions!B22,0)</f>
        <v>6</v>
      </c>
      <c r="K14" s="12" t="n">
        <f aca="false">ROUND(J15*Assumptions!B22,0)</f>
        <v>7</v>
      </c>
      <c r="L14" s="12" t="n">
        <f aca="false">ROUND(K15*Assumptions!B22,0)</f>
        <v>9</v>
      </c>
      <c r="M14" s="12" t="n">
        <f aca="false">ROUND(L15*Assumptions!B22,0)</f>
        <v>10</v>
      </c>
    </row>
    <row r="15" customFormat="false" ht="15" hidden="false" customHeight="false" outlineLevel="0" collapsed="false">
      <c r="A15" s="8" t="s">
        <v>43</v>
      </c>
      <c r="B15" s="12" t="n">
        <f aca="false">B9</f>
        <v>8</v>
      </c>
      <c r="C15" s="12" t="n">
        <f aca="false">B15+C9-C14-C11</f>
        <v>16</v>
      </c>
      <c r="D15" s="12" t="n">
        <f aca="false">C15+D9-D14-D11</f>
        <v>25</v>
      </c>
      <c r="E15" s="12" t="n">
        <f aca="false">D15+E9-E14-E11</f>
        <v>34</v>
      </c>
      <c r="F15" s="12" t="n">
        <f aca="false">E15+F9-F14-F11</f>
        <v>43</v>
      </c>
      <c r="G15" s="12" t="n">
        <f aca="false">F15+G9-G14-G11</f>
        <v>54</v>
      </c>
      <c r="H15" s="12" t="n">
        <f aca="false">G15+H9-H14-H11</f>
        <v>66</v>
      </c>
      <c r="I15" s="12" t="n">
        <f aca="false">H15+I9-I14-I11</f>
        <v>79</v>
      </c>
      <c r="J15" s="12" t="n">
        <f aca="false">I15+J9-J14-J11</f>
        <v>93</v>
      </c>
      <c r="K15" s="12" t="n">
        <f aca="false">J15+K9-K14-K11</f>
        <v>109</v>
      </c>
      <c r="L15" s="12" t="n">
        <f aca="false">K15+L9-L14-L11</f>
        <v>127</v>
      </c>
      <c r="M15" s="12" t="n">
        <f aca="false">L15+M9-M14-M11</f>
        <v>148</v>
      </c>
    </row>
    <row r="16" customFormat="false" ht="15" hidden="false" customHeight="false" outlineLevel="0" collapsed="false">
      <c r="A16" s="10" t="s">
        <v>44</v>
      </c>
      <c r="B16" s="12" t="n">
        <v>0</v>
      </c>
      <c r="C16" s="12" t="n">
        <f aca="false">ROUND(B17*Assumptions!B23,0)</f>
        <v>0</v>
      </c>
      <c r="D16" s="12" t="n">
        <f aca="false">ROUND(C17*Assumptions!B23,0)</f>
        <v>0</v>
      </c>
      <c r="E16" s="12" t="n">
        <f aca="false">ROUND(D17*Assumptions!B23,0)</f>
        <v>1</v>
      </c>
      <c r="F16" s="12" t="n">
        <f aca="false">ROUND(E17*Assumptions!B23,0)</f>
        <v>1</v>
      </c>
      <c r="G16" s="12" t="n">
        <f aca="false">ROUND(F17*Assumptions!B23,0)</f>
        <v>1</v>
      </c>
      <c r="H16" s="12" t="n">
        <f aca="false">ROUND(G17*Assumptions!B23,0)</f>
        <v>2</v>
      </c>
      <c r="I16" s="12" t="n">
        <f aca="false">ROUND(H17*Assumptions!B23,0)</f>
        <v>2</v>
      </c>
      <c r="J16" s="12" t="n">
        <f aca="false">ROUND(I17*Assumptions!B23,0)</f>
        <v>3</v>
      </c>
      <c r="K16" s="12" t="n">
        <f aca="false">ROUND(J17*Assumptions!B23,0)</f>
        <v>4</v>
      </c>
      <c r="L16" s="12" t="n">
        <f aca="false">ROUND(K17*Assumptions!B23,0)</f>
        <v>4</v>
      </c>
      <c r="M16" s="12" t="n">
        <f aca="false">ROUND(L17*Assumptions!B23,0)</f>
        <v>5</v>
      </c>
    </row>
    <row r="17" customFormat="false" ht="15" hidden="false" customHeight="false" outlineLevel="0" collapsed="false">
      <c r="A17" s="8" t="s">
        <v>45</v>
      </c>
      <c r="B17" s="12" t="n">
        <f aca="false">B10</f>
        <v>4</v>
      </c>
      <c r="C17" s="12" t="n">
        <f aca="false">B17+C10+C11-C16</f>
        <v>9</v>
      </c>
      <c r="D17" s="12" t="n">
        <f aca="false">C17+D10+D11-D16</f>
        <v>15</v>
      </c>
      <c r="E17" s="12" t="n">
        <f aca="false">D17+E10+E11-E16</f>
        <v>21</v>
      </c>
      <c r="F17" s="12" t="n">
        <f aca="false">E17+F10+F11-F16</f>
        <v>29</v>
      </c>
      <c r="G17" s="12" t="n">
        <f aca="false">F17+G10+G11-G16</f>
        <v>38</v>
      </c>
      <c r="H17" s="12" t="n">
        <f aca="false">G17+H10+H11-H16</f>
        <v>48</v>
      </c>
      <c r="I17" s="12" t="n">
        <f aca="false">H17+I10+I11-I16</f>
        <v>60</v>
      </c>
      <c r="J17" s="12" t="n">
        <f aca="false">I17+J10+J11-J16</f>
        <v>73</v>
      </c>
      <c r="K17" s="12" t="n">
        <f aca="false">J17+K10+K11-K16</f>
        <v>88</v>
      </c>
      <c r="L17" s="12" t="n">
        <f aca="false">K17+L10+L11-L16</f>
        <v>105</v>
      </c>
      <c r="M17" s="12" t="n">
        <f aca="false">L17+M10+M11-M16</f>
        <v>125</v>
      </c>
    </row>
    <row r="18" customFormat="false" ht="15" hidden="false" customHeight="false" outlineLevel="0" collapsed="false">
      <c r="A18" s="8" t="s">
        <v>46</v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f aca="false">MAX(0,ROUND(F18*(1-Assumptions!B24),0)+Assumptions!B19)</f>
        <v>1</v>
      </c>
      <c r="H18" s="12" t="n">
        <f aca="false">MAX(0,ROUND(G18*(1-Assumptions!B24),0)+Assumptions!B19)</f>
        <v>2</v>
      </c>
      <c r="I18" s="12" t="n">
        <f aca="false">MAX(0,ROUND(H18*(1-Assumptions!B24),0)+Assumptions!B19)</f>
        <v>3</v>
      </c>
      <c r="J18" s="12" t="n">
        <f aca="false">MAX(0,ROUND(I18*(1-Assumptions!B24),0)+Assumptions!B19)</f>
        <v>4</v>
      </c>
      <c r="K18" s="12" t="n">
        <f aca="false">MAX(0,ROUND(J18*(1-Assumptions!B24),0)+Assumptions!B19)</f>
        <v>5</v>
      </c>
      <c r="L18" s="12" t="n">
        <f aca="false">MAX(0,ROUND(K18*(1-Assumptions!B24),0)+Assumptions!B19)</f>
        <v>6</v>
      </c>
      <c r="M18" s="12" t="n">
        <f aca="false">MAX(0,ROUND(L18*(1-Assumptions!B24),0)+Assumptions!B19)</f>
        <v>7</v>
      </c>
    </row>
    <row r="19" customFormat="false" ht="15" hidden="false" customHeight="false" outlineLevel="0" collapsed="false">
      <c r="A19" s="13" t="s">
        <v>47</v>
      </c>
      <c r="B19" s="14" t="n">
        <f aca="false">B15+B17+B18</f>
        <v>12</v>
      </c>
      <c r="C19" s="14" t="n">
        <f aca="false">C15+C17+C18</f>
        <v>25</v>
      </c>
      <c r="D19" s="14" t="n">
        <f aca="false">D15+D17+D18</f>
        <v>40</v>
      </c>
      <c r="E19" s="14" t="n">
        <f aca="false">E15+E17+E18</f>
        <v>55</v>
      </c>
      <c r="F19" s="14" t="n">
        <f aca="false">F15+F17+F18</f>
        <v>72</v>
      </c>
      <c r="G19" s="14" t="n">
        <f aca="false">G15+G17+G18</f>
        <v>93</v>
      </c>
      <c r="H19" s="14" t="n">
        <f aca="false">H15+H17+H18</f>
        <v>116</v>
      </c>
      <c r="I19" s="14" t="n">
        <f aca="false">I15+I17+I18</f>
        <v>142</v>
      </c>
      <c r="J19" s="14" t="n">
        <f aca="false">J15+J17+J18</f>
        <v>170</v>
      </c>
      <c r="K19" s="14" t="n">
        <f aca="false">K15+K17+K18</f>
        <v>202</v>
      </c>
      <c r="L19" s="14" t="n">
        <f aca="false">L15+L17+L18</f>
        <v>238</v>
      </c>
      <c r="M19" s="14" t="n">
        <f aca="false">M15+M17+M18</f>
        <v>280</v>
      </c>
    </row>
    <row r="21" customFormat="false" ht="15" hidden="false" customHeight="false" outlineLevel="0" collapsed="false">
      <c r="A21" s="2" t="s">
        <v>48</v>
      </c>
    </row>
    <row r="22" customFormat="false" ht="15" hidden="false" customHeight="false" outlineLevel="0" collapsed="false">
      <c r="A22" s="10" t="s">
        <v>49</v>
      </c>
      <c r="B22" s="15" t="n">
        <f aca="false">B15*Assumptions!B4</f>
        <v>392</v>
      </c>
      <c r="C22" s="15" t="n">
        <f aca="false">C15*Assumptions!B4</f>
        <v>784</v>
      </c>
      <c r="D22" s="15" t="n">
        <f aca="false">D15*Assumptions!B4</f>
        <v>1225</v>
      </c>
      <c r="E22" s="15" t="n">
        <f aca="false">E15*Assumptions!B4</f>
        <v>1666</v>
      </c>
      <c r="F22" s="15" t="n">
        <f aca="false">F15*Assumptions!B4</f>
        <v>2107</v>
      </c>
      <c r="G22" s="15" t="n">
        <f aca="false">G15*Assumptions!B4</f>
        <v>2646</v>
      </c>
      <c r="H22" s="15" t="n">
        <f aca="false">H15*Assumptions!B4</f>
        <v>3234</v>
      </c>
      <c r="I22" s="15" t="n">
        <f aca="false">I15*Assumptions!B4</f>
        <v>3871</v>
      </c>
      <c r="J22" s="15" t="n">
        <f aca="false">J15*Assumptions!B4</f>
        <v>4557</v>
      </c>
      <c r="K22" s="15" t="n">
        <f aca="false">K15*Assumptions!B4</f>
        <v>5341</v>
      </c>
      <c r="L22" s="15" t="n">
        <f aca="false">L15*Assumptions!B4</f>
        <v>6223</v>
      </c>
      <c r="M22" s="15" t="n">
        <f aca="false">M15*Assumptions!B4</f>
        <v>7252</v>
      </c>
    </row>
    <row r="23" customFormat="false" ht="15" hidden="false" customHeight="false" outlineLevel="0" collapsed="false">
      <c r="A23" s="10" t="s">
        <v>50</v>
      </c>
      <c r="B23" s="15" t="n">
        <f aca="false">B17*Assumptions!B5</f>
        <v>596</v>
      </c>
      <c r="C23" s="15" t="n">
        <f aca="false">C17*Assumptions!B5</f>
        <v>1341</v>
      </c>
      <c r="D23" s="15" t="n">
        <f aca="false">D17*Assumptions!B5</f>
        <v>2235</v>
      </c>
      <c r="E23" s="15" t="n">
        <f aca="false">E17*Assumptions!B5</f>
        <v>3129</v>
      </c>
      <c r="F23" s="15" t="n">
        <f aca="false">F17*Assumptions!B5</f>
        <v>4321</v>
      </c>
      <c r="G23" s="15" t="n">
        <f aca="false">G17*Assumptions!B5</f>
        <v>5662</v>
      </c>
      <c r="H23" s="15" t="n">
        <f aca="false">H17*Assumptions!B5</f>
        <v>7152</v>
      </c>
      <c r="I23" s="15" t="n">
        <f aca="false">I17*Assumptions!B5</f>
        <v>8940</v>
      </c>
      <c r="J23" s="15" t="n">
        <f aca="false">J17*Assumptions!B5</f>
        <v>10877</v>
      </c>
      <c r="K23" s="15" t="n">
        <f aca="false">K17*Assumptions!B5</f>
        <v>13112</v>
      </c>
      <c r="L23" s="15" t="n">
        <f aca="false">L17*Assumptions!B5</f>
        <v>15645</v>
      </c>
      <c r="M23" s="15" t="n">
        <f aca="false">M17*Assumptions!B5</f>
        <v>18625</v>
      </c>
    </row>
    <row r="24" customFormat="false" ht="15" hidden="false" customHeight="false" outlineLevel="0" collapsed="false">
      <c r="A24" s="10" t="s">
        <v>51</v>
      </c>
      <c r="B24" s="15" t="n">
        <f aca="false">B18*Assumptions!B6</f>
        <v>0</v>
      </c>
      <c r="C24" s="15" t="n">
        <f aca="false">C18*Assumptions!B6</f>
        <v>0</v>
      </c>
      <c r="D24" s="15" t="n">
        <f aca="false">D18*Assumptions!B6</f>
        <v>0</v>
      </c>
      <c r="E24" s="15" t="n">
        <f aca="false">E18*Assumptions!B6</f>
        <v>0</v>
      </c>
      <c r="F24" s="15" t="n">
        <f aca="false">F18*Assumptions!B6</f>
        <v>0</v>
      </c>
      <c r="G24" s="15" t="n">
        <f aca="false">G18*Assumptions!B6</f>
        <v>349</v>
      </c>
      <c r="H24" s="15" t="n">
        <f aca="false">H18*Assumptions!B6</f>
        <v>698</v>
      </c>
      <c r="I24" s="15" t="n">
        <f aca="false">I18*Assumptions!B6</f>
        <v>1047</v>
      </c>
      <c r="J24" s="15" t="n">
        <f aca="false">J18*Assumptions!B6</f>
        <v>1396</v>
      </c>
      <c r="K24" s="15" t="n">
        <f aca="false">K18*Assumptions!B6</f>
        <v>1745</v>
      </c>
      <c r="L24" s="15" t="n">
        <f aca="false">L18*Assumptions!B6</f>
        <v>2094</v>
      </c>
      <c r="M24" s="15" t="n">
        <f aca="false">M18*Assumptions!B6</f>
        <v>2443</v>
      </c>
    </row>
    <row r="25" customFormat="false" ht="16.15" hidden="false" customHeight="false" outlineLevel="0" collapsed="false">
      <c r="A25" s="16" t="s">
        <v>52</v>
      </c>
      <c r="B25" s="17" t="n">
        <f aca="false">B22+B23+B24</f>
        <v>988</v>
      </c>
      <c r="C25" s="17" t="n">
        <f aca="false">C22+C23+C24</f>
        <v>2125</v>
      </c>
      <c r="D25" s="17" t="n">
        <f aca="false">D22+D23+D24</f>
        <v>3460</v>
      </c>
      <c r="E25" s="17" t="n">
        <f aca="false">E22+E23+E24</f>
        <v>4795</v>
      </c>
      <c r="F25" s="17" t="n">
        <f aca="false">F22+F23+F24</f>
        <v>6428</v>
      </c>
      <c r="G25" s="17" t="n">
        <f aca="false">G22+G23+G24</f>
        <v>8657</v>
      </c>
      <c r="H25" s="17" t="n">
        <f aca="false">H22+H23+H24</f>
        <v>11084</v>
      </c>
      <c r="I25" s="17" t="n">
        <f aca="false">I22+I23+I24</f>
        <v>13858</v>
      </c>
      <c r="J25" s="17" t="n">
        <f aca="false">J22+J23+J24</f>
        <v>16830</v>
      </c>
      <c r="K25" s="17" t="n">
        <f aca="false">K22+K23+K24</f>
        <v>20198</v>
      </c>
      <c r="L25" s="17" t="n">
        <f aca="false">L22+L23+L24</f>
        <v>23962</v>
      </c>
      <c r="M25" s="17" t="n">
        <f aca="false">M22+M23+M24</f>
        <v>28320</v>
      </c>
    </row>
    <row r="27" customFormat="false" ht="15" hidden="false" customHeight="false" outlineLevel="0" collapsed="false">
      <c r="A27" s="2" t="s">
        <v>53</v>
      </c>
    </row>
    <row r="28" customFormat="false" ht="15" hidden="false" customHeight="false" outlineLevel="0" collapsed="false">
      <c r="A28" s="10" t="s">
        <v>54</v>
      </c>
      <c r="B28" s="15" t="n">
        <f aca="false">(B15*Assumptions!B10+B17*Assumptions!B11+B18*Assumptions!B12+B5*3)*Assumptions!B9</f>
        <v>62</v>
      </c>
      <c r="C28" s="15" t="n">
        <f aca="false">(C15*Assumptions!B10+C17*Assumptions!B11+C18*Assumptions!B12+C5*3)*Assumptions!B9</f>
        <v>103.5</v>
      </c>
      <c r="D28" s="15" t="n">
        <f aca="false">(D15*Assumptions!B10+D17*Assumptions!B11+D18*Assumptions!B12+D5*3)*Assumptions!B9</f>
        <v>152.175</v>
      </c>
      <c r="E28" s="15" t="n">
        <f aca="false">(E15*Assumptions!B10+E17*Assumptions!B11+E18*Assumptions!B12+E5*3)*Assumptions!B9</f>
        <v>201.62625</v>
      </c>
      <c r="F28" s="15" t="n">
        <f aca="false">(F15*Assumptions!B10+F17*Assumptions!B11+F18*Assumptions!B12+F5*3)*Assumptions!B9</f>
        <v>261.9701875</v>
      </c>
      <c r="G28" s="15" t="n">
        <f aca="false">(G15*Assumptions!B10+G17*Assumptions!B11+G18*Assumptions!B12+G5*3)*Assumptions!B9</f>
        <v>356.340715625</v>
      </c>
      <c r="H28" s="15" t="n">
        <f aca="false">(H15*Assumptions!B10+H17*Assumptions!B11+H18*Assumptions!B12+H5*3)*Assumptions!B9</f>
        <v>458.39182296875</v>
      </c>
      <c r="I28" s="15" t="n">
        <f aca="false">(I15*Assumptions!B10+I17*Assumptions!B11+I18*Assumptions!B12+I5*3)*Assumptions!B9</f>
        <v>573.300596414062</v>
      </c>
      <c r="J28" s="15" t="n">
        <f aca="false">(J15*Assumptions!B10+J17*Assumptions!B11+J18*Assumptions!B12+J5*3)*Assumptions!B9</f>
        <v>696.270685876172</v>
      </c>
      <c r="K28" s="15" t="n">
        <f aca="false">(K15*Assumptions!B10+K17*Assumptions!B11+K18*Assumptions!B12+K5*3)*Assumptions!B9</f>
        <v>834.036288757598</v>
      </c>
      <c r="L28" s="15" t="n">
        <f aca="false">(L15*Assumptions!B10+L17*Assumptions!B11+L18*Assumptions!B12+L5*3)*Assumptions!B9</f>
        <v>986.866732071237</v>
      </c>
      <c r="M28" s="15" t="n">
        <f aca="false">(M15*Assumptions!B10+M17*Assumptions!B11+M18*Assumptions!B12+M5*3)*Assumptions!B9</f>
        <v>1161.57174188192</v>
      </c>
    </row>
    <row r="29" customFormat="false" ht="15" hidden="false" customHeight="false" outlineLevel="0" collapsed="false">
      <c r="A29" s="10" t="s">
        <v>55</v>
      </c>
      <c r="B29" s="15" t="n">
        <f aca="false">B25-B28</f>
        <v>926</v>
      </c>
      <c r="C29" s="15" t="n">
        <f aca="false">C25-C28</f>
        <v>2021.5</v>
      </c>
      <c r="D29" s="15" t="n">
        <f aca="false">D25-D28</f>
        <v>3307.825</v>
      </c>
      <c r="E29" s="15" t="n">
        <f aca="false">E25-E28</f>
        <v>4593.37375</v>
      </c>
      <c r="F29" s="15" t="n">
        <f aca="false">F25-F28</f>
        <v>6166.0298125</v>
      </c>
      <c r="G29" s="15" t="n">
        <f aca="false">G25-G28</f>
        <v>8300.659284375</v>
      </c>
      <c r="H29" s="15" t="n">
        <f aca="false">H25-H28</f>
        <v>10625.6081770313</v>
      </c>
      <c r="I29" s="15" t="n">
        <f aca="false">I25-I28</f>
        <v>13284.6994035859</v>
      </c>
      <c r="J29" s="15" t="n">
        <f aca="false">J25-J28</f>
        <v>16133.7293141238</v>
      </c>
      <c r="K29" s="15" t="n">
        <f aca="false">K25-K28</f>
        <v>19363.9637112424</v>
      </c>
      <c r="L29" s="15" t="n">
        <f aca="false">L25-L28</f>
        <v>22975.1332679288</v>
      </c>
      <c r="M29" s="15" t="n">
        <f aca="false">M25-M28</f>
        <v>27158.4282581181</v>
      </c>
    </row>
    <row r="30" customFormat="false" ht="15" hidden="false" customHeight="false" outlineLevel="0" collapsed="false">
      <c r="A30" s="10" t="s">
        <v>56</v>
      </c>
      <c r="B30" s="18" t="n">
        <f aca="false">IF(B25&gt;0,B29/B25,0)</f>
        <v>0.937246963562753</v>
      </c>
      <c r="C30" s="18" t="n">
        <f aca="false">IF(C25&gt;0,C29/C25,0)</f>
        <v>0.951294117647059</v>
      </c>
      <c r="D30" s="18" t="n">
        <f aca="false">IF(D25&gt;0,D29/D25,0)</f>
        <v>0.956018786127168</v>
      </c>
      <c r="E30" s="18" t="n">
        <f aca="false">IF(E25&gt;0,E29/E25,0)</f>
        <v>0.957950729927007</v>
      </c>
      <c r="F30" s="18" t="n">
        <f aca="false">IF(F25&gt;0,F29/F25,0)</f>
        <v>0.959245459318606</v>
      </c>
      <c r="G30" s="18" t="n">
        <f aca="false">IF(G25&gt;0,G29/G25,0)</f>
        <v>0.958837851955065</v>
      </c>
      <c r="H30" s="18" t="n">
        <f aca="false">IF(H25&gt;0,H29/H25,0)</f>
        <v>0.958643826870376</v>
      </c>
      <c r="I30" s="18" t="n">
        <f aca="false">IF(I25&gt;0,I29/I25,0)</f>
        <v>0.95863035095872</v>
      </c>
      <c r="J30" s="18" t="n">
        <f aca="false">IF(J25&gt;0,J29/J25,0)</f>
        <v>0.958629192758397</v>
      </c>
      <c r="K30" s="18" t="n">
        <f aca="false">IF(K25&gt;0,K29/K25,0)</f>
        <v>0.958706986396792</v>
      </c>
      <c r="L30" s="18" t="n">
        <f aca="false">IF(L25&gt;0,L29/L25,0)</f>
        <v>0.958815343791368</v>
      </c>
      <c r="M30" s="18" t="n">
        <f aca="false">IF(M25&gt;0,M29/M25,0)</f>
        <v>0.958984048662362</v>
      </c>
    </row>
    <row r="31" customFormat="false" ht="15" hidden="false" customHeight="false" outlineLevel="0" collapsed="false">
      <c r="A31" s="10" t="s">
        <v>57</v>
      </c>
      <c r="B31" s="15" t="n">
        <f aca="false">IF(B19&gt;0,B25/B19,0)</f>
        <v>82.3333333333333</v>
      </c>
      <c r="C31" s="15" t="n">
        <f aca="false">IF(C19&gt;0,C25/C19,0)</f>
        <v>85</v>
      </c>
      <c r="D31" s="15" t="n">
        <f aca="false">IF(D19&gt;0,D25/D19,0)</f>
        <v>86.5</v>
      </c>
      <c r="E31" s="15" t="n">
        <f aca="false">IF(E19&gt;0,E25/E19,0)</f>
        <v>87.1818181818182</v>
      </c>
      <c r="F31" s="15" t="n">
        <f aca="false">IF(F19&gt;0,F25/F19,0)</f>
        <v>89.2777777777778</v>
      </c>
      <c r="G31" s="15" t="n">
        <f aca="false">IF(G19&gt;0,G25/G19,0)</f>
        <v>93.0860215053764</v>
      </c>
      <c r="H31" s="15" t="n">
        <f aca="false">IF(H19&gt;0,H25/H19,0)</f>
        <v>95.551724137931</v>
      </c>
      <c r="I31" s="15" t="n">
        <f aca="false">IF(I19&gt;0,I25/I19,0)</f>
        <v>97.5915492957746</v>
      </c>
      <c r="J31" s="15" t="n">
        <f aca="false">IF(J19&gt;0,J25/J19,0)</f>
        <v>99</v>
      </c>
      <c r="K31" s="15" t="n">
        <f aca="false">IF(K19&gt;0,K25/K19,0)</f>
        <v>99.990099009901</v>
      </c>
      <c r="L31" s="15" t="n">
        <f aca="false">IF(L19&gt;0,L25/L19,0)</f>
        <v>100.680672268908</v>
      </c>
      <c r="M31" s="15" t="n">
        <f aca="false">IF(M19&gt;0,M25/M19,0)</f>
        <v>101.142857142857</v>
      </c>
    </row>
    <row r="33" customFormat="false" ht="15" hidden="false" customHeight="false" outlineLevel="0" collapsed="false">
      <c r="A33" s="2" t="s">
        <v>58</v>
      </c>
    </row>
    <row r="34" customFormat="false" ht="15" hidden="false" customHeight="false" outlineLevel="0" collapsed="false">
      <c r="A34" s="8" t="s">
        <v>59</v>
      </c>
      <c r="B34" s="15" t="n">
        <f aca="false">B25</f>
        <v>988</v>
      </c>
      <c r="C34" s="15" t="n">
        <f aca="false">B34+C25</f>
        <v>3113</v>
      </c>
      <c r="D34" s="15" t="n">
        <f aca="false">C34+D25</f>
        <v>6573</v>
      </c>
      <c r="E34" s="15" t="n">
        <f aca="false">D34+E25</f>
        <v>11368</v>
      </c>
      <c r="F34" s="15" t="n">
        <f aca="false">E34+F25</f>
        <v>17796</v>
      </c>
      <c r="G34" s="15" t="n">
        <f aca="false">F34+G25</f>
        <v>26453</v>
      </c>
      <c r="H34" s="15" t="n">
        <f aca="false">G34+H25</f>
        <v>37537</v>
      </c>
      <c r="I34" s="15" t="n">
        <f aca="false">H34+I25</f>
        <v>51395</v>
      </c>
      <c r="J34" s="15" t="n">
        <f aca="false">I34+J25</f>
        <v>68225</v>
      </c>
      <c r="K34" s="15" t="n">
        <f aca="false">J34+K25</f>
        <v>88423</v>
      </c>
      <c r="L34" s="15" t="n">
        <f aca="false">K34+L25</f>
        <v>112385</v>
      </c>
      <c r="M34" s="15" t="n">
        <f aca="false">L34+M25</f>
        <v>140705</v>
      </c>
    </row>
    <row r="35" customFormat="false" ht="15" hidden="false" customHeight="false" outlineLevel="0" collapsed="false">
      <c r="A35" s="10" t="s">
        <v>60</v>
      </c>
      <c r="B35" s="15" t="n">
        <f aca="false">B28</f>
        <v>62</v>
      </c>
      <c r="C35" s="15" t="n">
        <f aca="false">B35+C28</f>
        <v>165.5</v>
      </c>
      <c r="D35" s="15" t="n">
        <f aca="false">C35+D28</f>
        <v>317.675</v>
      </c>
      <c r="E35" s="15" t="n">
        <f aca="false">D35+E28</f>
        <v>519.30125</v>
      </c>
      <c r="F35" s="15" t="n">
        <f aca="false">E35+F28</f>
        <v>781.2714375</v>
      </c>
      <c r="G35" s="15" t="n">
        <f aca="false">F35+G28</f>
        <v>1137.612153125</v>
      </c>
      <c r="H35" s="15" t="n">
        <f aca="false">G35+H28</f>
        <v>1596.00397609375</v>
      </c>
      <c r="I35" s="15" t="n">
        <f aca="false">H35+I28</f>
        <v>2169.30457250781</v>
      </c>
      <c r="J35" s="15" t="n">
        <f aca="false">I35+J28</f>
        <v>2865.57525838398</v>
      </c>
      <c r="K35" s="15" t="n">
        <f aca="false">J35+K28</f>
        <v>3699.61154714158</v>
      </c>
      <c r="L35" s="15" t="n">
        <f aca="false">K35+L28</f>
        <v>4686.47827921282</v>
      </c>
      <c r="M35" s="15" t="n">
        <f aca="false">L35+M28</f>
        <v>5848.05002109474</v>
      </c>
    </row>
    <row r="36" customFormat="false" ht="15" hidden="false" customHeight="false" outlineLevel="0" collapsed="false">
      <c r="A36" s="13" t="s">
        <v>61</v>
      </c>
      <c r="B36" s="15" t="n">
        <f aca="false">B29</f>
        <v>926</v>
      </c>
      <c r="C36" s="19" t="n">
        <f aca="false">B36+C29</f>
        <v>2947.5</v>
      </c>
      <c r="D36" s="19" t="n">
        <f aca="false">C36+D29</f>
        <v>6255.325</v>
      </c>
      <c r="E36" s="19" t="n">
        <f aca="false">D36+E29</f>
        <v>10848.69875</v>
      </c>
      <c r="F36" s="19" t="n">
        <f aca="false">E36+F29</f>
        <v>17014.7285625</v>
      </c>
      <c r="G36" s="19" t="n">
        <f aca="false">F36+G29</f>
        <v>25315.387846875</v>
      </c>
      <c r="H36" s="19" t="n">
        <f aca="false">G36+H29</f>
        <v>35940.9960239063</v>
      </c>
      <c r="I36" s="19" t="n">
        <f aca="false">H36+I29</f>
        <v>49225.6954274922</v>
      </c>
      <c r="J36" s="19" t="n">
        <f aca="false">I36+J29</f>
        <v>65359.424741616</v>
      </c>
      <c r="K36" s="19" t="n">
        <f aca="false">J36+K29</f>
        <v>84723.3884528584</v>
      </c>
      <c r="L36" s="19" t="n">
        <f aca="false">K36+L29</f>
        <v>107698.521720787</v>
      </c>
      <c r="M36" s="19" t="n">
        <f aca="false">L36+M29</f>
        <v>134856.949978905</v>
      </c>
    </row>
    <row r="38" customFormat="false" ht="16.15" hidden="false" customHeight="false" outlineLevel="0" collapsed="false">
      <c r="A38" s="16" t="s">
        <v>62</v>
      </c>
      <c r="B38" s="20" t="n">
        <f aca="false">B25*12</f>
        <v>11856</v>
      </c>
      <c r="C38" s="20" t="n">
        <f aca="false">C25*12</f>
        <v>25500</v>
      </c>
      <c r="D38" s="20" t="n">
        <f aca="false">D25*12</f>
        <v>41520</v>
      </c>
      <c r="E38" s="20" t="n">
        <f aca="false">E25*12</f>
        <v>57540</v>
      </c>
      <c r="F38" s="20" t="n">
        <f aca="false">F25*12</f>
        <v>77136</v>
      </c>
      <c r="G38" s="20" t="n">
        <f aca="false">G25*12</f>
        <v>103884</v>
      </c>
      <c r="H38" s="20" t="n">
        <f aca="false">H25*12</f>
        <v>133008</v>
      </c>
      <c r="I38" s="20" t="n">
        <f aca="false">I25*12</f>
        <v>166296</v>
      </c>
      <c r="J38" s="20" t="n">
        <f aca="false">J25*12</f>
        <v>201960</v>
      </c>
      <c r="K38" s="20" t="n">
        <f aca="false">K25*12</f>
        <v>242376</v>
      </c>
      <c r="L38" s="20" t="n">
        <f aca="false">L25*12</f>
        <v>287544</v>
      </c>
      <c r="M38" s="20" t="n">
        <f aca="false">M25*12</f>
        <v>339840</v>
      </c>
    </row>
    <row r="40" customFormat="false" ht="15" hidden="false" customHeight="false" outlineLevel="0" collapsed="false">
      <c r="A40" s="21" t="s">
        <v>63</v>
      </c>
    </row>
    <row r="41" customFormat="false" ht="15" hidden="false" customHeight="false" outlineLevel="0" collapsed="false">
      <c r="A41" s="22" t="s">
        <v>64</v>
      </c>
    </row>
    <row r="42" customFormat="false" ht="15" hidden="false" customHeight="false" outlineLevel="0" collapsed="false">
      <c r="A42" s="22" t="s">
        <v>65</v>
      </c>
    </row>
    <row r="43" customFormat="false" ht="15" hidden="false" customHeight="false" outlineLevel="0" collapsed="false">
      <c r="A43" s="22" t="s">
        <v>66</v>
      </c>
    </row>
    <row r="44" customFormat="false" ht="15" hidden="false" customHeight="false" outlineLevel="0" collapsed="false">
      <c r="A44" s="22" t="s">
        <v>67</v>
      </c>
    </row>
    <row r="45" customFormat="false" ht="15" hidden="false" customHeight="false" outlineLevel="0" collapsed="false">
      <c r="A45" s="22" t="s">
        <v>68</v>
      </c>
    </row>
    <row r="46" customFormat="false" ht="15" hidden="false" customHeight="false" outlineLevel="0" collapsed="false">
      <c r="A46" s="22" t="s">
        <v>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2026-04-12T23:03:24Z</dcterms:created>
  <dc:creator>openpyxl</dc:creator>
  <dc:description/>
  <dc:language>en-US</dc:language>
  <cp:lastModifiedBy/>
  <dcterms:modified xsi:type="dcterms:W3CDTF">2026-04-12T23:03:24Z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